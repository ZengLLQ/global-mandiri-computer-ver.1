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ftar Halaman" sheetId="1" state="visible" r:id="rId3"/>
    <sheet name="Ringkasan" sheetId="2" state="visible" r:id="rId4"/>
  </sheets>
  <definedNames>
    <definedName function="false" hidden="true" localSheetId="0" name="_xlnm._FilterDatabase" vbProcedure="false">'Daftar Halaman'!$A$1:$G$34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<sst xmlns="http://schemas.openxmlformats.org/spreadsheetml/2006/main" count="222" uniqueCount="97">
  <si>
    <t xml:space="preserve">No</t>
  </si>
  <si>
    <t xml:space="preserve">Area</t>
  </si>
  <si>
    <t xml:space="preserve">Kelompok</t>
  </si>
  <si>
    <t xml:space="preserve">Halaman</t>
  </si>
  <si>
    <t xml:space="preserve">Keterangan</t>
  </si>
  <si>
    <t xml:space="preserve">Prioritas</t>
  </si>
  <si>
    <t xml:space="preserve">Fase</t>
  </si>
  <si>
    <t xml:space="preserve">Pelanggan</t>
  </si>
  <si>
    <t xml:space="preserve">Utama</t>
  </si>
  <si>
    <t xml:space="preserve">Home</t>
  </si>
  <si>
    <t xml:space="preserve">Headline raksasa, tile kategori, Barang Baru, newsletter</t>
  </si>
  <si>
    <t xml:space="preserve">Rilis 1</t>
  </si>
  <si>
    <t xml:space="preserve">Fase 4</t>
  </si>
  <si>
    <t xml:space="preserve">Katalog</t>
  </si>
  <si>
    <t xml:space="preserve">Satu template; tab kategori, filter, urutan lewat query URL</t>
  </si>
  <si>
    <t xml:space="preserve">Detail Produk</t>
  </si>
  <si>
    <t xml:space="preserve">Satu template untuk sekitar 560 URL produk dari Excel</t>
  </si>
  <si>
    <t xml:space="preserve">Belanja</t>
  </si>
  <si>
    <t xml:space="preserve">Keranjang</t>
  </si>
  <si>
    <t xml:space="preserve">Halaman + drawer samping (drawer bukan halaman terpisah)</t>
  </si>
  <si>
    <t xml:space="preserve">Fase 5</t>
  </si>
  <si>
    <t xml:space="preserve">Checkout</t>
  </si>
  <si>
    <t xml:space="preserve">Nama, telepon, alamat, catatan; tanpa ongkir</t>
  </si>
  <si>
    <t xml:space="preserve">Order Berhasil</t>
  </si>
  <si>
    <t xml:space="preserve">Instruksi transfer BCA + nomor order + upload bukti transfer</t>
  </si>
  <si>
    <t xml:space="preserve">Lacak Pesanan</t>
  </si>
  <si>
    <t xml:space="preserve">Cek status dengan nomor order + telepon</t>
  </si>
  <si>
    <t xml:space="preserve">Akun</t>
  </si>
  <si>
    <t xml:space="preserve">Daftar</t>
  </si>
  <si>
    <t xml:space="preserve">Registrasi akun</t>
  </si>
  <si>
    <t xml:space="preserve">Masuk</t>
  </si>
  <si>
    <t xml:space="preserve">Email/password; Google login opsional (env flag)</t>
  </si>
  <si>
    <t xml:space="preserve">Lupa Password</t>
  </si>
  <si>
    <t xml:space="preserve">Reset Password</t>
  </si>
  <si>
    <t xml:space="preserve">Dashboard akun</t>
  </si>
  <si>
    <t xml:space="preserve">Profil</t>
  </si>
  <si>
    <t xml:space="preserve">Alamat</t>
  </si>
  <si>
    <t xml:space="preserve">Riwayat Pesanan</t>
  </si>
  <si>
    <t xml:space="preserve">Wishlist</t>
  </si>
  <si>
    <t xml:space="preserve">Bisa ditunda</t>
  </si>
  <si>
    <t xml:space="preserve">Konten</t>
  </si>
  <si>
    <t xml:space="preserve">Blog (daftar)</t>
  </si>
  <si>
    <t xml:space="preserve">Blog (detail)</t>
  </si>
  <si>
    <t xml:space="preserve">Kontak</t>
  </si>
  <si>
    <t xml:space="preserve">Form, jam buka, alamat, link peta, WhatsApp</t>
  </si>
  <si>
    <t xml:space="preserve">Statis</t>
  </si>
  <si>
    <t xml:space="preserve">Syarat &amp; Ketentuan</t>
  </si>
  <si>
    <t xml:space="preserve">Kebijakan Privasi</t>
  </si>
  <si>
    <t xml:space="preserve">Pengiriman &amp; Garansi</t>
  </si>
  <si>
    <t xml:space="preserve">Termasuk aturan video unboxing dari catatan toko</t>
  </si>
  <si>
    <t xml:space="preserve">Admin</t>
  </si>
  <si>
    <t xml:space="preserve">Dashboard</t>
  </si>
  <si>
    <t xml:space="preserve">Ringkasan Penjualan</t>
  </si>
  <si>
    <t xml:space="preserve">Fase 6</t>
  </si>
  <si>
    <t xml:space="preserve">Produk</t>
  </si>
  <si>
    <t xml:space="preserve">Daftar Produk</t>
  </si>
  <si>
    <t xml:space="preserve">Edit/Tambah Produk</t>
  </si>
  <si>
    <t xml:space="preserve">Varian, spek, harga, status stok</t>
  </si>
  <si>
    <t xml:space="preserve">Kategori</t>
  </si>
  <si>
    <t xml:space="preserve">Import Katalog</t>
  </si>
  <si>
    <t xml:space="preserve">Upload .xls + laporan (CLI importer dibuat di Fase 2)</t>
  </si>
  <si>
    <t xml:space="preserve">Pesanan</t>
  </si>
  <si>
    <t xml:space="preserve">Daftar Pesanan</t>
  </si>
  <si>
    <t xml:space="preserve">Detail Pesanan</t>
  </si>
  <si>
    <t xml:space="preserve">Ubah status, lihat bukti transfer, catatan pengiriman</t>
  </si>
  <si>
    <t xml:space="preserve">Moderasi Review</t>
  </si>
  <si>
    <t xml:space="preserve">Daftar Blog</t>
  </si>
  <si>
    <t xml:space="preserve">Edit Blog</t>
  </si>
  <si>
    <t xml:space="preserve">Pengaturan</t>
  </si>
  <si>
    <t xml:space="preserve">Pengaturan Toko</t>
  </si>
  <si>
    <t xml:space="preserve">Kontak, jam buka, bank, tagline, harga gift wrapping</t>
  </si>
  <si>
    <t xml:space="preserve">Baris berlatar krem = bisa ditunda dari rilis pertama. Ubah kolom Prioritas ('Rilis 1' / 'Bisa ditunda') dan sheet Ringkasan ikut menghitung ulang.</t>
  </si>
  <si>
    <t xml:space="preserve">Ringkasan Halaman Website GMC</t>
  </si>
  <si>
    <t xml:space="preserve">Total halaman (template)</t>
  </si>
  <si>
    <t xml:space="preserve">Halaman pelanggan</t>
  </si>
  <si>
    <t xml:space="preserve">Halaman admin</t>
  </si>
  <si>
    <t xml:space="preserve">Per fase pembangunan</t>
  </si>
  <si>
    <t xml:space="preserve">Per kelompok</t>
  </si>
  <si>
    <t xml:space="preserve">Area / Kelompok</t>
  </si>
  <si>
    <t xml:space="preserve">Ditunda</t>
  </si>
  <si>
    <t xml:space="preserve">Pelanggan / Utama</t>
  </si>
  <si>
    <t xml:space="preserve">Pelanggan / Belanja</t>
  </si>
  <si>
    <t xml:space="preserve">Pelanggan / Akun</t>
  </si>
  <si>
    <t xml:space="preserve">Pelanggan / Dashboard akun</t>
  </si>
  <si>
    <t xml:space="preserve">Pelanggan / Konten</t>
  </si>
  <si>
    <t xml:space="preserve">Pelanggan / Statis</t>
  </si>
  <si>
    <t xml:space="preserve">Admin / Dashboard</t>
  </si>
  <si>
    <t xml:space="preserve">Admin / Produk</t>
  </si>
  <si>
    <t xml:space="preserve">Admin / Pesanan</t>
  </si>
  <si>
    <t xml:space="preserve">Admin / Pelanggan</t>
  </si>
  <si>
    <t xml:space="preserve">Admin / Konten</t>
  </si>
  <si>
    <t xml:space="preserve">Admin / Pengaturan</t>
  </si>
  <si>
    <t xml:space="preserve">Asumsi: jumlah dihitung dari prompt final (template halaman, bukan jumlah URL).</t>
  </si>
  <si>
    <t xml:space="preserve">Tidak termasuk halaman 404 dan /styleguide (hanya untuk development).</t>
  </si>
  <si>
    <t xml:space="preserve">Halaman produk = 1 template untuk sekitar 560 produk; Katalog = 1 template dengan filter lewat URL.</t>
  </si>
  <si>
    <t xml:space="preserve">Review, drawer keranjang, dan pencarian instan bukan halaman terpisah.</t>
  </si>
  <si>
    <t xml:space="preserve">Rekomendasi 'Bisa ditunda' berasal dari saran saya, bukan keputusanmu; ubah di sheet Daftar Halaman.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</si>
</sst>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F3EF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11111"/>
          <bgColor rgb="FF000000"/>
        </patternFill>
      </fill>
    </dxf>
    <dxf>
      <fill>
        <patternFill patternType="solid">
          <fgColor rgb="FFF3EFE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EFE9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111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5" min="5" style="0" width="58"/>
    <col collapsed="false" customWidth="true" hidden="false" outlineLevel="0" max="6" min="6" style="0" width="14"/>
    <col collapsed="false" customWidth="true" hidden="false" outlineLevel="0" max="7" min="7" style="0" width="9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  <c r="G2" s="2" t="s">
        <v>12</v>
      </c>
    </row>
    <row r="3" customFormat="false" ht="15" hidden="false" customHeight="false" outlineLevel="0" collapsed="false">
      <c r="A3" s="2" t="n">
        <v>2</v>
      </c>
      <c r="B3" s="2" t="s">
        <v>7</v>
      </c>
      <c r="C3" s="2" t="s">
        <v>8</v>
      </c>
      <c r="D3" s="2" t="s">
        <v>13</v>
      </c>
      <c r="E3" s="3" t="s">
        <v>14</v>
      </c>
      <c r="F3" s="2" t="s">
        <v>11</v>
      </c>
      <c r="G3" s="2" t="s">
        <v>12</v>
      </c>
    </row>
    <row r="4" customFormat="false" ht="15" hidden="false" customHeight="false" outlineLevel="0" collapsed="false">
      <c r="A4" s="2" t="n">
        <v>3</v>
      </c>
      <c r="B4" s="2" t="s">
        <v>7</v>
      </c>
      <c r="C4" s="2" t="s">
        <v>8</v>
      </c>
      <c r="D4" s="2" t="s">
        <v>15</v>
      </c>
      <c r="E4" s="3" t="s">
        <v>16</v>
      </c>
      <c r="F4" s="2" t="s">
        <v>11</v>
      </c>
      <c r="G4" s="2" t="s">
        <v>12</v>
      </c>
    </row>
    <row r="5" customFormat="false" ht="15" hidden="false" customHeight="false" outlineLevel="0" collapsed="false">
      <c r="A5" s="2" t="n">
        <v>4</v>
      </c>
      <c r="B5" s="2" t="s">
        <v>7</v>
      </c>
      <c r="C5" s="2" t="s">
        <v>17</v>
      </c>
      <c r="D5" s="2" t="s">
        <v>18</v>
      </c>
      <c r="E5" s="3" t="s">
        <v>19</v>
      </c>
      <c r="F5" s="2" t="s">
        <v>11</v>
      </c>
      <c r="G5" s="2" t="s">
        <v>20</v>
      </c>
    </row>
    <row r="6" customFormat="false" ht="15" hidden="false" customHeight="false" outlineLevel="0" collapsed="false">
      <c r="A6" s="2" t="n">
        <v>5</v>
      </c>
      <c r="B6" s="2" t="s">
        <v>7</v>
      </c>
      <c r="C6" s="2" t="s">
        <v>17</v>
      </c>
      <c r="D6" s="2" t="s">
        <v>21</v>
      </c>
      <c r="E6" s="3" t="s">
        <v>22</v>
      </c>
      <c r="F6" s="2" t="s">
        <v>11</v>
      </c>
      <c r="G6" s="2" t="s">
        <v>20</v>
      </c>
    </row>
    <row r="7" customFormat="false" ht="15" hidden="false" customHeight="false" outlineLevel="0" collapsed="false">
      <c r="A7" s="2" t="n">
        <v>6</v>
      </c>
      <c r="B7" s="2" t="s">
        <v>7</v>
      </c>
      <c r="C7" s="2" t="s">
        <v>17</v>
      </c>
      <c r="D7" s="2" t="s">
        <v>23</v>
      </c>
      <c r="E7" s="3" t="s">
        <v>24</v>
      </c>
      <c r="F7" s="2" t="s">
        <v>11</v>
      </c>
      <c r="G7" s="2" t="s">
        <v>20</v>
      </c>
    </row>
    <row r="8" customFormat="false" ht="15" hidden="false" customHeight="false" outlineLevel="0" collapsed="false">
      <c r="A8" s="2" t="n">
        <v>7</v>
      </c>
      <c r="B8" s="2" t="s">
        <v>7</v>
      </c>
      <c r="C8" s="2" t="s">
        <v>17</v>
      </c>
      <c r="D8" s="2" t="s">
        <v>25</v>
      </c>
      <c r="E8" s="3" t="s">
        <v>26</v>
      </c>
      <c r="F8" s="2" t="s">
        <v>11</v>
      </c>
      <c r="G8" s="2" t="s">
        <v>20</v>
      </c>
    </row>
    <row r="9" customFormat="false" ht="15" hidden="false" customHeight="false" outlineLevel="0" collapsed="false">
      <c r="A9" s="2" t="n">
        <v>8</v>
      </c>
      <c r="B9" s="2" t="s">
        <v>7</v>
      </c>
      <c r="C9" s="2" t="s">
        <v>27</v>
      </c>
      <c r="D9" s="2" t="s">
        <v>28</v>
      </c>
      <c r="E9" s="3" t="s">
        <v>29</v>
      </c>
      <c r="F9" s="2" t="s">
        <v>11</v>
      </c>
      <c r="G9" s="2" t="s">
        <v>12</v>
      </c>
    </row>
    <row r="10" customFormat="false" ht="15" hidden="false" customHeight="false" outlineLevel="0" collapsed="false">
      <c r="A10" s="2" t="n">
        <v>9</v>
      </c>
      <c r="B10" s="2" t="s">
        <v>7</v>
      </c>
      <c r="C10" s="2" t="s">
        <v>27</v>
      </c>
      <c r="D10" s="2" t="s">
        <v>30</v>
      </c>
      <c r="E10" s="3" t="s">
        <v>31</v>
      </c>
      <c r="F10" s="2" t="s">
        <v>11</v>
      </c>
      <c r="G10" s="2" t="s">
        <v>12</v>
      </c>
    </row>
    <row r="11" customFormat="false" ht="15" hidden="false" customHeight="false" outlineLevel="0" collapsed="false">
      <c r="A11" s="2" t="n">
        <v>10</v>
      </c>
      <c r="B11" s="2" t="s">
        <v>7</v>
      </c>
      <c r="C11" s="2" t="s">
        <v>27</v>
      </c>
      <c r="D11" s="2" t="s">
        <v>32</v>
      </c>
      <c r="E11" s="3"/>
      <c r="F11" s="2" t="s">
        <v>11</v>
      </c>
      <c r="G11" s="2" t="s">
        <v>12</v>
      </c>
    </row>
    <row r="12" customFormat="false" ht="15" hidden="false" customHeight="false" outlineLevel="0" collapsed="false">
      <c r="A12" s="2" t="n">
        <v>11</v>
      </c>
      <c r="B12" s="2" t="s">
        <v>7</v>
      </c>
      <c r="C12" s="2" t="s">
        <v>27</v>
      </c>
      <c r="D12" s="2" t="s">
        <v>33</v>
      </c>
      <c r="E12" s="3"/>
      <c r="F12" s="2" t="s">
        <v>11</v>
      </c>
      <c r="G12" s="2" t="s">
        <v>12</v>
      </c>
    </row>
    <row r="13" customFormat="false" ht="15" hidden="false" customHeight="false" outlineLevel="0" collapsed="false">
      <c r="A13" s="2" t="n">
        <v>12</v>
      </c>
      <c r="B13" s="2" t="s">
        <v>7</v>
      </c>
      <c r="C13" s="2" t="s">
        <v>34</v>
      </c>
      <c r="D13" s="2" t="s">
        <v>35</v>
      </c>
      <c r="E13" s="3"/>
      <c r="F13" s="2" t="s">
        <v>11</v>
      </c>
      <c r="G13" s="2" t="s">
        <v>12</v>
      </c>
    </row>
    <row r="14" customFormat="false" ht="15" hidden="false" customHeight="false" outlineLevel="0" collapsed="false">
      <c r="A14" s="2" t="n">
        <v>13</v>
      </c>
      <c r="B14" s="2" t="s">
        <v>7</v>
      </c>
      <c r="C14" s="2" t="s">
        <v>34</v>
      </c>
      <c r="D14" s="2" t="s">
        <v>36</v>
      </c>
      <c r="E14" s="3"/>
      <c r="F14" s="2" t="s">
        <v>11</v>
      </c>
      <c r="G14" s="2" t="s">
        <v>12</v>
      </c>
    </row>
    <row r="15" customFormat="false" ht="15" hidden="false" customHeight="false" outlineLevel="0" collapsed="false">
      <c r="A15" s="2" t="n">
        <v>14</v>
      </c>
      <c r="B15" s="2" t="s">
        <v>7</v>
      </c>
      <c r="C15" s="2" t="s">
        <v>34</v>
      </c>
      <c r="D15" s="2" t="s">
        <v>37</v>
      </c>
      <c r="E15" s="3"/>
      <c r="F15" s="2" t="s">
        <v>11</v>
      </c>
      <c r="G15" s="2" t="s">
        <v>12</v>
      </c>
    </row>
    <row r="16" customFormat="false" ht="15" hidden="false" customHeight="false" outlineLevel="0" collapsed="false">
      <c r="A16" s="4" t="n">
        <v>15</v>
      </c>
      <c r="B16" s="4" t="s">
        <v>7</v>
      </c>
      <c r="C16" s="4" t="s">
        <v>34</v>
      </c>
      <c r="D16" s="4" t="s">
        <v>38</v>
      </c>
      <c r="E16" s="5"/>
      <c r="F16" s="4" t="s">
        <v>39</v>
      </c>
      <c r="G16" s="4" t="s">
        <v>12</v>
      </c>
    </row>
    <row r="17" customFormat="false" ht="15" hidden="false" customHeight="false" outlineLevel="0" collapsed="false">
      <c r="A17" s="4" t="n">
        <v>16</v>
      </c>
      <c r="B17" s="4" t="s">
        <v>7</v>
      </c>
      <c r="C17" s="4" t="s">
        <v>40</v>
      </c>
      <c r="D17" s="4" t="s">
        <v>41</v>
      </c>
      <c r="E17" s="5"/>
      <c r="F17" s="4" t="s">
        <v>39</v>
      </c>
      <c r="G17" s="4" t="s">
        <v>12</v>
      </c>
    </row>
    <row r="18" customFormat="false" ht="15" hidden="false" customHeight="false" outlineLevel="0" collapsed="false">
      <c r="A18" s="4" t="n">
        <v>17</v>
      </c>
      <c r="B18" s="4" t="s">
        <v>7</v>
      </c>
      <c r="C18" s="4" t="s">
        <v>40</v>
      </c>
      <c r="D18" s="4" t="s">
        <v>42</v>
      </c>
      <c r="E18" s="5"/>
      <c r="F18" s="4" t="s">
        <v>39</v>
      </c>
      <c r="G18" s="4" t="s">
        <v>12</v>
      </c>
    </row>
    <row r="19" customFormat="false" ht="15" hidden="false" customHeight="false" outlineLevel="0" collapsed="false">
      <c r="A19" s="2" t="n">
        <v>18</v>
      </c>
      <c r="B19" s="2" t="s">
        <v>7</v>
      </c>
      <c r="C19" s="2" t="s">
        <v>40</v>
      </c>
      <c r="D19" s="2" t="s">
        <v>43</v>
      </c>
      <c r="E19" s="3" t="s">
        <v>44</v>
      </c>
      <c r="F19" s="2" t="s">
        <v>11</v>
      </c>
      <c r="G19" s="2" t="s">
        <v>12</v>
      </c>
    </row>
    <row r="20" customFormat="false" ht="15" hidden="false" customHeight="false" outlineLevel="0" collapsed="false">
      <c r="A20" s="2" t="n">
        <v>19</v>
      </c>
      <c r="B20" s="2" t="s">
        <v>7</v>
      </c>
      <c r="C20" s="2" t="s">
        <v>45</v>
      </c>
      <c r="D20" s="2" t="s">
        <v>46</v>
      </c>
      <c r="E20" s="3"/>
      <c r="F20" s="2" t="s">
        <v>11</v>
      </c>
      <c r="G20" s="2" t="s">
        <v>12</v>
      </c>
    </row>
    <row r="21" customFormat="false" ht="15" hidden="false" customHeight="false" outlineLevel="0" collapsed="false">
      <c r="A21" s="2" t="n">
        <v>20</v>
      </c>
      <c r="B21" s="2" t="s">
        <v>7</v>
      </c>
      <c r="C21" s="2" t="s">
        <v>45</v>
      </c>
      <c r="D21" s="2" t="s">
        <v>47</v>
      </c>
      <c r="E21" s="3"/>
      <c r="F21" s="2" t="s">
        <v>11</v>
      </c>
      <c r="G21" s="2" t="s">
        <v>12</v>
      </c>
    </row>
    <row r="22" customFormat="false" ht="15" hidden="false" customHeight="false" outlineLevel="0" collapsed="false">
      <c r="A22" s="2" t="n">
        <v>21</v>
      </c>
      <c r="B22" s="2" t="s">
        <v>7</v>
      </c>
      <c r="C22" s="2" t="s">
        <v>45</v>
      </c>
      <c r="D22" s="2" t="s">
        <v>48</v>
      </c>
      <c r="E22" s="3" t="s">
        <v>49</v>
      </c>
      <c r="F22" s="2" t="s">
        <v>11</v>
      </c>
      <c r="G22" s="2" t="s">
        <v>12</v>
      </c>
    </row>
    <row r="23" customFormat="false" ht="15" hidden="false" customHeight="false" outlineLevel="0" collapsed="false">
      <c r="A23" s="2" t="n">
        <v>22</v>
      </c>
      <c r="B23" s="2" t="s">
        <v>50</v>
      </c>
      <c r="C23" s="2" t="s">
        <v>51</v>
      </c>
      <c r="D23" s="2" t="s">
        <v>52</v>
      </c>
      <c r="E23" s="3"/>
      <c r="F23" s="2" t="s">
        <v>11</v>
      </c>
      <c r="G23" s="2" t="s">
        <v>53</v>
      </c>
    </row>
    <row r="24" customFormat="false" ht="15" hidden="false" customHeight="false" outlineLevel="0" collapsed="false">
      <c r="A24" s="2" t="n">
        <v>23</v>
      </c>
      <c r="B24" s="2" t="s">
        <v>50</v>
      </c>
      <c r="C24" s="2" t="s">
        <v>54</v>
      </c>
      <c r="D24" s="2" t="s">
        <v>55</v>
      </c>
      <c r="E24" s="3"/>
      <c r="F24" s="2" t="s">
        <v>11</v>
      </c>
      <c r="G24" s="2" t="s">
        <v>53</v>
      </c>
    </row>
    <row r="25" customFormat="false" ht="15" hidden="false" customHeight="false" outlineLevel="0" collapsed="false">
      <c r="A25" s="2" t="n">
        <v>24</v>
      </c>
      <c r="B25" s="2" t="s">
        <v>50</v>
      </c>
      <c r="C25" s="2" t="s">
        <v>54</v>
      </c>
      <c r="D25" s="2" t="s">
        <v>56</v>
      </c>
      <c r="E25" s="3" t="s">
        <v>57</v>
      </c>
      <c r="F25" s="2" t="s">
        <v>11</v>
      </c>
      <c r="G25" s="2" t="s">
        <v>53</v>
      </c>
    </row>
    <row r="26" customFormat="false" ht="15" hidden="false" customHeight="false" outlineLevel="0" collapsed="false">
      <c r="A26" s="2" t="n">
        <v>25</v>
      </c>
      <c r="B26" s="2" t="s">
        <v>50</v>
      </c>
      <c r="C26" s="2" t="s">
        <v>54</v>
      </c>
      <c r="D26" s="2" t="s">
        <v>58</v>
      </c>
      <c r="E26" s="3"/>
      <c r="F26" s="2" t="s">
        <v>11</v>
      </c>
      <c r="G26" s="2" t="s">
        <v>53</v>
      </c>
    </row>
    <row r="27" customFormat="false" ht="15" hidden="false" customHeight="false" outlineLevel="0" collapsed="false">
      <c r="A27" s="2" t="n">
        <v>26</v>
      </c>
      <c r="B27" s="2" t="s">
        <v>50</v>
      </c>
      <c r="C27" s="2" t="s">
        <v>54</v>
      </c>
      <c r="D27" s="2" t="s">
        <v>59</v>
      </c>
      <c r="E27" s="3" t="s">
        <v>60</v>
      </c>
      <c r="F27" s="2" t="s">
        <v>11</v>
      </c>
      <c r="G27" s="2" t="s">
        <v>53</v>
      </c>
    </row>
    <row r="28" customFormat="false" ht="15" hidden="false" customHeight="false" outlineLevel="0" collapsed="false">
      <c r="A28" s="2" t="n">
        <v>27</v>
      </c>
      <c r="B28" s="2" t="s">
        <v>50</v>
      </c>
      <c r="C28" s="2" t="s">
        <v>61</v>
      </c>
      <c r="D28" s="2" t="s">
        <v>62</v>
      </c>
      <c r="E28" s="3"/>
      <c r="F28" s="2" t="s">
        <v>11</v>
      </c>
      <c r="G28" s="2" t="s">
        <v>53</v>
      </c>
    </row>
    <row r="29" customFormat="false" ht="15" hidden="false" customHeight="false" outlineLevel="0" collapsed="false">
      <c r="A29" s="2" t="n">
        <v>28</v>
      </c>
      <c r="B29" s="2" t="s">
        <v>50</v>
      </c>
      <c r="C29" s="2" t="s">
        <v>61</v>
      </c>
      <c r="D29" s="2" t="s">
        <v>63</v>
      </c>
      <c r="E29" s="3" t="s">
        <v>64</v>
      </c>
      <c r="F29" s="2" t="s">
        <v>11</v>
      </c>
      <c r="G29" s="2" t="s">
        <v>53</v>
      </c>
    </row>
    <row r="30" customFormat="false" ht="15" hidden="false" customHeight="false" outlineLevel="0" collapsed="false">
      <c r="A30" s="2" t="n">
        <v>29</v>
      </c>
      <c r="B30" s="2" t="s">
        <v>50</v>
      </c>
      <c r="C30" s="2" t="s">
        <v>7</v>
      </c>
      <c r="D30" s="2" t="s">
        <v>7</v>
      </c>
      <c r="E30" s="3"/>
      <c r="F30" s="2" t="s">
        <v>11</v>
      </c>
      <c r="G30" s="2" t="s">
        <v>53</v>
      </c>
    </row>
    <row r="31" customFormat="false" ht="15" hidden="false" customHeight="false" outlineLevel="0" collapsed="false">
      <c r="A31" s="4" t="n">
        <v>30</v>
      </c>
      <c r="B31" s="4" t="s">
        <v>50</v>
      </c>
      <c r="C31" s="4" t="s">
        <v>40</v>
      </c>
      <c r="D31" s="4" t="s">
        <v>65</v>
      </c>
      <c r="E31" s="5"/>
      <c r="F31" s="4" t="s">
        <v>39</v>
      </c>
      <c r="G31" s="4" t="s">
        <v>53</v>
      </c>
    </row>
    <row r="32" customFormat="false" ht="15" hidden="false" customHeight="false" outlineLevel="0" collapsed="false">
      <c r="A32" s="4" t="n">
        <v>31</v>
      </c>
      <c r="B32" s="4" t="s">
        <v>50</v>
      </c>
      <c r="C32" s="4" t="s">
        <v>40</v>
      </c>
      <c r="D32" s="4" t="s">
        <v>66</v>
      </c>
      <c r="E32" s="5"/>
      <c r="F32" s="4" t="s">
        <v>39</v>
      </c>
      <c r="G32" s="4" t="s">
        <v>53</v>
      </c>
    </row>
    <row r="33" customFormat="false" ht="15" hidden="false" customHeight="false" outlineLevel="0" collapsed="false">
      <c r="A33" s="4" t="n">
        <v>32</v>
      </c>
      <c r="B33" s="4" t="s">
        <v>50</v>
      </c>
      <c r="C33" s="4" t="s">
        <v>40</v>
      </c>
      <c r="D33" s="4" t="s">
        <v>67</v>
      </c>
      <c r="E33" s="5"/>
      <c r="F33" s="4" t="s">
        <v>39</v>
      </c>
      <c r="G33" s="4" t="s">
        <v>53</v>
      </c>
    </row>
    <row r="34" customFormat="false" ht="15" hidden="false" customHeight="false" outlineLevel="0" collapsed="false">
      <c r="A34" s="2" t="n">
        <v>33</v>
      </c>
      <c r="B34" s="2" t="s">
        <v>50</v>
      </c>
      <c r="C34" s="2" t="s">
        <v>68</v>
      </c>
      <c r="D34" s="2" t="s">
        <v>69</v>
      </c>
      <c r="E34" s="3" t="s">
        <v>70</v>
      </c>
      <c r="F34" s="2" t="s">
        <v>11</v>
      </c>
      <c r="G34" s="2" t="s">
        <v>53</v>
      </c>
    </row>
    <row r="36" customFormat="false" ht="15" hidden="false" customHeight="false" outlineLevel="0" collapsed="false">
      <c r="A36" s="6" t="s">
        <v>71</v>
      </c>
    </row>
  </sheetData>
  <autoFilter ref="A1:G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4" min="3" style="0" width="14"/>
  </cols>
  <sheetData>
    <row r="1" customFormat="false" ht="16.15" hidden="false" customHeight="false" outlineLevel="0" collapsed="false">
      <c r="A1" s="7" t="s">
        <v>72</v>
      </c>
    </row>
    <row r="3" customFormat="false" ht="15" hidden="false" customHeight="false" outlineLevel="0" collapsed="false">
      <c r="A3" s="8" t="s">
        <v>73</v>
      </c>
      <c r="B3" s="9" t="n">
        <f aca="false">COUNTA('Daftar Halaman'!$D$2:$D$34)</f>
        <v>33</v>
      </c>
    </row>
    <row r="4" customFormat="false" ht="15" hidden="false" customHeight="false" outlineLevel="0" collapsed="false">
      <c r="A4" s="8" t="s">
        <v>74</v>
      </c>
      <c r="B4" s="9" t="n">
        <f aca="false">COUNTIF('Daftar Halaman'!$B$2:$B$34,"Pelanggan")</f>
        <v>21</v>
      </c>
    </row>
    <row r="5" customFormat="false" ht="15" hidden="false" customHeight="false" outlineLevel="0" collapsed="false">
      <c r="A5" s="8" t="s">
        <v>75</v>
      </c>
      <c r="B5" s="9" t="n">
        <f aca="false">COUNTIF('Daftar Halaman'!$B$2:$B$34,"Admin")</f>
        <v>12</v>
      </c>
    </row>
    <row r="6" customFormat="false" ht="15" hidden="false" customHeight="false" outlineLevel="0" collapsed="false">
      <c r="A6" s="8" t="s">
        <v>11</v>
      </c>
      <c r="B6" s="9" t="n">
        <f aca="false">COUNTIF('Daftar Halaman'!$F$2:$F$34,"Rilis 1")</f>
        <v>27</v>
      </c>
    </row>
    <row r="7" customFormat="false" ht="15" hidden="false" customHeight="false" outlineLevel="0" collapsed="false">
      <c r="A7" s="8" t="s">
        <v>39</v>
      </c>
      <c r="B7" s="9" t="n">
        <f aca="false">COUNTIF('Daftar Halaman'!$F$2:$F$34,"Bisa ditunda")</f>
        <v>6</v>
      </c>
    </row>
    <row r="10" customFormat="false" ht="15" hidden="false" customHeight="false" outlineLevel="0" collapsed="false">
      <c r="A10" s="9" t="s">
        <v>76</v>
      </c>
    </row>
    <row r="11" customFormat="false" ht="15" hidden="false" customHeight="false" outlineLevel="0" collapsed="false">
      <c r="A11" s="10" t="s">
        <v>6</v>
      </c>
      <c r="B11" s="10" t="s">
        <v>3</v>
      </c>
    </row>
    <row r="12" customFormat="false" ht="15" hidden="false" customHeight="false" outlineLevel="0" collapsed="false">
      <c r="A12" s="8" t="s">
        <v>12</v>
      </c>
      <c r="B12" s="8" t="n">
        <f aca="false">COUNTIF('Daftar Halaman'!$G$2:$G$34,A12)</f>
        <v>17</v>
      </c>
    </row>
    <row r="13" customFormat="false" ht="15" hidden="false" customHeight="false" outlineLevel="0" collapsed="false">
      <c r="A13" s="8" t="s">
        <v>20</v>
      </c>
      <c r="B13" s="8" t="n">
        <f aca="false">COUNTIF('Daftar Halaman'!$G$2:$G$34,A13)</f>
        <v>4</v>
      </c>
    </row>
    <row r="14" customFormat="false" ht="15" hidden="false" customHeight="false" outlineLevel="0" collapsed="false">
      <c r="A14" s="8" t="s">
        <v>53</v>
      </c>
      <c r="B14" s="8" t="n">
        <f aca="false">COUNTIF('Daftar Halaman'!$G$2:$G$34,A14)</f>
        <v>12</v>
      </c>
    </row>
    <row r="16" customFormat="false" ht="15" hidden="false" customHeight="false" outlineLevel="0" collapsed="false">
      <c r="A16" s="9" t="s">
        <v>77</v>
      </c>
    </row>
    <row r="17" customFormat="false" ht="15" hidden="false" customHeight="false" outlineLevel="0" collapsed="false">
      <c r="A17" s="10" t="s">
        <v>78</v>
      </c>
      <c r="B17" s="10" t="s">
        <v>3</v>
      </c>
      <c r="C17" s="10" t="s">
        <v>11</v>
      </c>
      <c r="D17" s="10" t="s">
        <v>79</v>
      </c>
    </row>
    <row r="18" customFormat="false" ht="15" hidden="false" customHeight="false" outlineLevel="0" collapsed="false">
      <c r="A18" s="8" t="s">
        <v>80</v>
      </c>
      <c r="B18" s="8" t="n">
        <f aca="false">COUNTIFS('Daftar Halaman'!$B$2:$B$34,"Pelanggan",'Daftar Halaman'!$C$2:$C$34,"Utama")</f>
        <v>3</v>
      </c>
      <c r="C18" s="8" t="n">
        <f aca="false">COUNTIFS('Daftar Halaman'!$B$2:$B$34,"Pelanggan",'Daftar Halaman'!$C$2:$C$34,"Utama",'Daftar Halaman'!$F$2:$F$34,"Rilis 1")</f>
        <v>3</v>
      </c>
      <c r="D18" s="8" t="n">
        <f aca="false">COUNTIFS('Daftar Halaman'!$B$2:$B$34,"Pelanggan",'Daftar Halaman'!$C$2:$C$34,"Utama",'Daftar Halaman'!$F$2:$F$34,"Bisa ditunda")</f>
        <v>0</v>
      </c>
    </row>
    <row r="19" customFormat="false" ht="15" hidden="false" customHeight="false" outlineLevel="0" collapsed="false">
      <c r="A19" s="8" t="s">
        <v>81</v>
      </c>
      <c r="B19" s="8" t="n">
        <f aca="false">COUNTIFS('Daftar Halaman'!$B$2:$B$34,"Pelanggan",'Daftar Halaman'!$C$2:$C$34,"Belanja")</f>
        <v>4</v>
      </c>
      <c r="C19" s="8" t="n">
        <f aca="false">COUNTIFS('Daftar Halaman'!$B$2:$B$34,"Pelanggan",'Daftar Halaman'!$C$2:$C$34,"Belanja",'Daftar Halaman'!$F$2:$F$34,"Rilis 1")</f>
        <v>4</v>
      </c>
      <c r="D19" s="8" t="n">
        <f aca="false">COUNTIFS('Daftar Halaman'!$B$2:$B$34,"Pelanggan",'Daftar Halaman'!$C$2:$C$34,"Belanja",'Daftar Halaman'!$F$2:$F$34,"Bisa ditunda")</f>
        <v>0</v>
      </c>
    </row>
    <row r="20" customFormat="false" ht="15" hidden="false" customHeight="false" outlineLevel="0" collapsed="false">
      <c r="A20" s="8" t="s">
        <v>82</v>
      </c>
      <c r="B20" s="8" t="n">
        <f aca="false">COUNTIFS('Daftar Halaman'!$B$2:$B$34,"Pelanggan",'Daftar Halaman'!$C$2:$C$34,"Akun")</f>
        <v>4</v>
      </c>
      <c r="C20" s="8" t="n">
        <f aca="false">COUNTIFS('Daftar Halaman'!$B$2:$B$34,"Pelanggan",'Daftar Halaman'!$C$2:$C$34,"Akun",'Daftar Halaman'!$F$2:$F$34,"Rilis 1")</f>
        <v>4</v>
      </c>
      <c r="D20" s="8" t="n">
        <f aca="false">COUNTIFS('Daftar Halaman'!$B$2:$B$34,"Pelanggan",'Daftar Halaman'!$C$2:$C$34,"Akun",'Daftar Halaman'!$F$2:$F$34,"Bisa ditunda")</f>
        <v>0</v>
      </c>
    </row>
    <row r="21" customFormat="false" ht="15" hidden="false" customHeight="false" outlineLevel="0" collapsed="false">
      <c r="A21" s="8" t="s">
        <v>83</v>
      </c>
      <c r="B21" s="8" t="n">
        <f aca="false">COUNTIFS('Daftar Halaman'!$B$2:$B$34,"Pelanggan",'Daftar Halaman'!$C$2:$C$34,"Dashboard akun")</f>
        <v>4</v>
      </c>
      <c r="C21" s="8" t="n">
        <f aca="false">COUNTIFS('Daftar Halaman'!$B$2:$B$34,"Pelanggan",'Daftar Halaman'!$C$2:$C$34,"Dashboard akun",'Daftar Halaman'!$F$2:$F$34,"Rilis 1")</f>
        <v>3</v>
      </c>
      <c r="D21" s="8" t="n">
        <f aca="false">COUNTIFS('Daftar Halaman'!$B$2:$B$34,"Pelanggan",'Daftar Halaman'!$C$2:$C$34,"Dashboard akun",'Daftar Halaman'!$F$2:$F$34,"Bisa ditunda")</f>
        <v>1</v>
      </c>
    </row>
    <row r="22" customFormat="false" ht="15" hidden="false" customHeight="false" outlineLevel="0" collapsed="false">
      <c r="A22" s="8" t="s">
        <v>84</v>
      </c>
      <c r="B22" s="8" t="n">
        <f aca="false">COUNTIFS('Daftar Halaman'!$B$2:$B$34,"Pelanggan",'Daftar Halaman'!$C$2:$C$34,"Konten")</f>
        <v>3</v>
      </c>
      <c r="C22" s="8" t="n">
        <f aca="false">COUNTIFS('Daftar Halaman'!$B$2:$B$34,"Pelanggan",'Daftar Halaman'!$C$2:$C$34,"Konten",'Daftar Halaman'!$F$2:$F$34,"Rilis 1")</f>
        <v>1</v>
      </c>
      <c r="D22" s="8" t="n">
        <f aca="false">COUNTIFS('Daftar Halaman'!$B$2:$B$34,"Pelanggan",'Daftar Halaman'!$C$2:$C$34,"Konten",'Daftar Halaman'!$F$2:$F$34,"Bisa ditunda")</f>
        <v>2</v>
      </c>
    </row>
    <row r="23" customFormat="false" ht="15" hidden="false" customHeight="false" outlineLevel="0" collapsed="false">
      <c r="A23" s="8" t="s">
        <v>85</v>
      </c>
      <c r="B23" s="8" t="n">
        <f aca="false">COUNTIFS('Daftar Halaman'!$B$2:$B$34,"Pelanggan",'Daftar Halaman'!$C$2:$C$34,"Statis")</f>
        <v>3</v>
      </c>
      <c r="C23" s="8" t="n">
        <f aca="false">COUNTIFS('Daftar Halaman'!$B$2:$B$34,"Pelanggan",'Daftar Halaman'!$C$2:$C$34,"Statis",'Daftar Halaman'!$F$2:$F$34,"Rilis 1")</f>
        <v>3</v>
      </c>
      <c r="D23" s="8" t="n">
        <f aca="false">COUNTIFS('Daftar Halaman'!$B$2:$B$34,"Pelanggan",'Daftar Halaman'!$C$2:$C$34,"Statis",'Daftar Halaman'!$F$2:$F$34,"Bisa ditunda")</f>
        <v>0</v>
      </c>
    </row>
    <row r="24" customFormat="false" ht="15" hidden="false" customHeight="false" outlineLevel="0" collapsed="false">
      <c r="A24" s="8" t="s">
        <v>86</v>
      </c>
      <c r="B24" s="8" t="n">
        <f aca="false">COUNTIFS('Daftar Halaman'!$B$2:$B$34,"Admin",'Daftar Halaman'!$C$2:$C$34,"Dashboard")</f>
        <v>1</v>
      </c>
      <c r="C24" s="8" t="n">
        <f aca="false">COUNTIFS('Daftar Halaman'!$B$2:$B$34,"Admin",'Daftar Halaman'!$C$2:$C$34,"Dashboard",'Daftar Halaman'!$F$2:$F$34,"Rilis 1")</f>
        <v>1</v>
      </c>
      <c r="D24" s="8" t="n">
        <f aca="false">COUNTIFS('Daftar Halaman'!$B$2:$B$34,"Admin",'Daftar Halaman'!$C$2:$C$34,"Dashboard",'Daftar Halaman'!$F$2:$F$34,"Bisa ditunda")</f>
        <v>0</v>
      </c>
    </row>
    <row r="25" customFormat="false" ht="15" hidden="false" customHeight="false" outlineLevel="0" collapsed="false">
      <c r="A25" s="8" t="s">
        <v>87</v>
      </c>
      <c r="B25" s="8" t="n">
        <f aca="false">COUNTIFS('Daftar Halaman'!$B$2:$B$34,"Admin",'Daftar Halaman'!$C$2:$C$34,"Produk")</f>
        <v>4</v>
      </c>
      <c r="C25" s="8" t="n">
        <f aca="false">COUNTIFS('Daftar Halaman'!$B$2:$B$34,"Admin",'Daftar Halaman'!$C$2:$C$34,"Produk",'Daftar Halaman'!$F$2:$F$34,"Rilis 1")</f>
        <v>4</v>
      </c>
      <c r="D25" s="8" t="n">
        <f aca="false">COUNTIFS('Daftar Halaman'!$B$2:$B$34,"Admin",'Daftar Halaman'!$C$2:$C$34,"Produk",'Daftar Halaman'!$F$2:$F$34,"Bisa ditunda")</f>
        <v>0</v>
      </c>
    </row>
    <row r="26" customFormat="false" ht="15" hidden="false" customHeight="false" outlineLevel="0" collapsed="false">
      <c r="A26" s="8" t="s">
        <v>88</v>
      </c>
      <c r="B26" s="8" t="n">
        <f aca="false">COUNTIFS('Daftar Halaman'!$B$2:$B$34,"Admin",'Daftar Halaman'!$C$2:$C$34,"Pesanan")</f>
        <v>2</v>
      </c>
      <c r="C26" s="8" t="n">
        <f aca="false">COUNTIFS('Daftar Halaman'!$B$2:$B$34,"Admin",'Daftar Halaman'!$C$2:$C$34,"Pesanan",'Daftar Halaman'!$F$2:$F$34,"Rilis 1")</f>
        <v>2</v>
      </c>
      <c r="D26" s="8" t="n">
        <f aca="false">COUNTIFS('Daftar Halaman'!$B$2:$B$34,"Admin",'Daftar Halaman'!$C$2:$C$34,"Pesanan",'Daftar Halaman'!$F$2:$F$34,"Bisa ditunda")</f>
        <v>0</v>
      </c>
    </row>
    <row r="27" customFormat="false" ht="15" hidden="false" customHeight="false" outlineLevel="0" collapsed="false">
      <c r="A27" s="8" t="s">
        <v>89</v>
      </c>
      <c r="B27" s="8" t="n">
        <f aca="false">COUNTIFS('Daftar Halaman'!$B$2:$B$34,"Admin",'Daftar Halaman'!$C$2:$C$34,"Pelanggan")</f>
        <v>1</v>
      </c>
      <c r="C27" s="8" t="n">
        <f aca="false">COUNTIFS('Daftar Halaman'!$B$2:$B$34,"Admin",'Daftar Halaman'!$C$2:$C$34,"Pelanggan",'Daftar Halaman'!$F$2:$F$34,"Rilis 1")</f>
        <v>1</v>
      </c>
      <c r="D27" s="8" t="n">
        <f aca="false">COUNTIFS('Daftar Halaman'!$B$2:$B$34,"Admin",'Daftar Halaman'!$C$2:$C$34,"Pelanggan",'Daftar Halaman'!$F$2:$F$34,"Bisa ditunda")</f>
        <v>0</v>
      </c>
    </row>
    <row r="28" customFormat="false" ht="15" hidden="false" customHeight="false" outlineLevel="0" collapsed="false">
      <c r="A28" s="8" t="s">
        <v>90</v>
      </c>
      <c r="B28" s="8" t="n">
        <f aca="false">COUNTIFS('Daftar Halaman'!$B$2:$B$34,"Admin",'Daftar Halaman'!$C$2:$C$34,"Konten")</f>
        <v>3</v>
      </c>
      <c r="C28" s="8" t="n">
        <f aca="false">COUNTIFS('Daftar Halaman'!$B$2:$B$34,"Admin",'Daftar Halaman'!$C$2:$C$34,"Konten",'Daftar Halaman'!$F$2:$F$34,"Rilis 1")</f>
        <v>0</v>
      </c>
      <c r="D28" s="8" t="n">
        <f aca="false">COUNTIFS('Daftar Halaman'!$B$2:$B$34,"Admin",'Daftar Halaman'!$C$2:$C$34,"Konten",'Daftar Halaman'!$F$2:$F$34,"Bisa ditunda")</f>
        <v>3</v>
      </c>
    </row>
    <row r="29" customFormat="false" ht="15" hidden="false" customHeight="false" outlineLevel="0" collapsed="false">
      <c r="A29" s="8" t="s">
        <v>91</v>
      </c>
      <c r="B29" s="8" t="n">
        <f aca="false">COUNTIFS('Daftar Halaman'!$B$2:$B$34,"Admin",'Daftar Halaman'!$C$2:$C$34,"Pengaturan")</f>
        <v>1</v>
      </c>
      <c r="C29" s="8" t="n">
        <f aca="false">COUNTIFS('Daftar Halaman'!$B$2:$B$34,"Admin",'Daftar Halaman'!$C$2:$C$34,"Pengaturan",'Daftar Halaman'!$F$2:$F$34,"Rilis 1")</f>
        <v>1</v>
      </c>
      <c r="D29" s="8" t="n">
        <f aca="false">COUNTIFS('Daftar Halaman'!$B$2:$B$34,"Admin",'Daftar Halaman'!$C$2:$C$34,"Pengaturan",'Daftar Halaman'!$F$2:$F$34,"Bisa ditunda")</f>
        <v>0</v>
      </c>
    </row>
    <row r="31" customFormat="false" ht="15" hidden="false" customHeight="false" outlineLevel="0" collapsed="false">
      <c r="A31" s="6" t="s">
        <v>92</v>
      </c>
    </row>
    <row r="32" customFormat="false" ht="15" hidden="false" customHeight="false" outlineLevel="0" collapsed="false">
      <c r="A32" s="6" t="s">
        <v>93</v>
      </c>
    </row>
    <row r="33" customFormat="false" ht="15" hidden="false" customHeight="false" outlineLevel="0" collapsed="false">
      <c r="A33" s="6" t="s">
        <v>94</v>
      </c>
    </row>
    <row r="34" customFormat="false" ht="15" hidden="false" customHeight="false" outlineLevel="0" collapsed="false">
      <c r="A34" s="6" t="s">
        <v>95</v>
      </c>
    </row>
    <row r="35" customFormat="false" ht="15" hidden="false" customHeight="false" outlineLevel="0" collapsed="false">
      <c r="A35" s="6" t="s">
        <v>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2026-10-09T09:23:26Z</dcterms:created>
  <dc:creator>openpyxl</dc:creator>
  <dc:description/>
  <dc:language>en-US</dc:language>
  <cp:lastModifiedBy/>
  <dcterms:modified xsi:type="dcterms:W3CDTF">2026-10-09T09:23:26Z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